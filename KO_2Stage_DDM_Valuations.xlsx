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tvuong/Downloads/"/>
    </mc:Choice>
  </mc:AlternateContent>
  <xr:revisionPtr revIDLastSave="0" documentId="8_{6AD99746-DBB4-F742-930A-19062DA2CBF8}" xr6:coauthVersionLast="47" xr6:coauthVersionMax="47" xr10:uidLastSave="{00000000-0000-0000-0000-000000000000}"/>
  <bookViews>
    <workbookView xWindow="-120" yWindow="760" windowWidth="25820" windowHeight="13900" xr2:uid="{A57410E9-887F-4B42-9582-48B08BAD5EA4}"/>
  </bookViews>
  <sheets>
    <sheet name="Inputs" sheetId="1" r:id="rId1"/>
  </sheets>
  <definedNames>
    <definedName name="Growth">Inputs!#REF!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F35" i="1"/>
  <c r="G35" i="1"/>
  <c r="H35" i="1"/>
  <c r="I35" i="1"/>
  <c r="D35" i="1"/>
  <c r="D39" i="1" s="1"/>
  <c r="D33" i="1"/>
  <c r="C32" i="1"/>
  <c r="I33" i="1"/>
  <c r="I31" i="1"/>
  <c r="E31" i="1"/>
  <c r="F31" i="1"/>
  <c r="G31" i="1"/>
  <c r="H31" i="1"/>
  <c r="D31" i="1"/>
  <c r="B13" i="1"/>
  <c r="B25" i="1"/>
  <c r="B24" i="1"/>
  <c r="B26" i="1" s="1"/>
  <c r="C38" i="1"/>
  <c r="B23" i="1"/>
  <c r="E33" i="1" l="1"/>
  <c r="E36" i="1" s="1"/>
  <c r="E39" i="1"/>
  <c r="F39" i="1" s="1"/>
  <c r="G39" i="1" s="1"/>
  <c r="H39" i="1" s="1"/>
  <c r="D36" i="1"/>
  <c r="D40" i="1" s="1"/>
  <c r="I39" i="1" l="1"/>
  <c r="I40" i="1"/>
  <c r="E40" i="1"/>
  <c r="F33" i="1"/>
  <c r="G33" i="1"/>
  <c r="F36" i="1"/>
  <c r="F40" i="1" s="1"/>
  <c r="H33" i="1" l="1"/>
  <c r="G36" i="1"/>
  <c r="G40" i="1" s="1"/>
  <c r="H36" i="1" l="1"/>
  <c r="H40" i="1" s="1"/>
  <c r="C43" i="1" s="1"/>
  <c r="I36" i="1" l="1"/>
  <c r="C44" i="1"/>
  <c r="C45" i="1" s="1"/>
  <c r="G8" i="1" l="1"/>
  <c r="G23" i="1"/>
  <c r="G24" i="1" l="1"/>
</calcChain>
</file>

<file path=xl/sharedStrings.xml><?xml version="1.0" encoding="utf-8"?>
<sst xmlns="http://schemas.openxmlformats.org/spreadsheetml/2006/main" count="49" uniqueCount="45">
  <si>
    <t>Market Risk Premium</t>
  </si>
  <si>
    <t>Beta</t>
  </si>
  <si>
    <t>Valuation Date</t>
  </si>
  <si>
    <t>Financial Data</t>
  </si>
  <si>
    <t>CAPM Data</t>
  </si>
  <si>
    <t xml:space="preserve">Risk Free Rate </t>
  </si>
  <si>
    <t>Model Assumptions</t>
  </si>
  <si>
    <t>Pro Formas</t>
  </si>
  <si>
    <t>Growth Rates</t>
  </si>
  <si>
    <t>Year Ending</t>
  </si>
  <si>
    <t>Expected Dividends</t>
  </si>
  <si>
    <t>Forecast Period</t>
  </si>
  <si>
    <t>Terminal CF</t>
  </si>
  <si>
    <t>Adjustment For Participation</t>
  </si>
  <si>
    <t>Adjusted Cash Flow</t>
  </si>
  <si>
    <t>Year-End Convention</t>
  </si>
  <si>
    <t>Periods to Discount</t>
  </si>
  <si>
    <t>Discounted Cash Flows</t>
  </si>
  <si>
    <t>Valuation Analysis</t>
  </si>
  <si>
    <t>PV of Discerete Forecase Period CF</t>
  </si>
  <si>
    <t>PV of Terminal Value</t>
  </si>
  <si>
    <t>Intrinsic Value of Equity</t>
  </si>
  <si>
    <t>Rating:</t>
  </si>
  <si>
    <t>Target Price:</t>
  </si>
  <si>
    <t>Recommendation</t>
  </si>
  <si>
    <t>Current Price</t>
  </si>
  <si>
    <t>Intrinsic Price</t>
  </si>
  <si>
    <t>The Coca-Cola Company (KO)</t>
  </si>
  <si>
    <t>Latest Net Income (TTM)</t>
  </si>
  <si>
    <t>Latest Book Value Equity (TTM)</t>
  </si>
  <si>
    <t>Shares Outstanding</t>
  </si>
  <si>
    <t>Latest Annual Dividend Payout</t>
  </si>
  <si>
    <t>millions</t>
  </si>
  <si>
    <t>CF Convention</t>
  </si>
  <si>
    <t>Year-End</t>
  </si>
  <si>
    <t>Cost of Equity (via CAPM)</t>
  </si>
  <si>
    <t>Dividend Payout Ratio</t>
  </si>
  <si>
    <t>ROE</t>
  </si>
  <si>
    <t>Long Term Growth (Terminal)</t>
  </si>
  <si>
    <t>Near Term Growth (First 5 Yrs.)</t>
  </si>
  <si>
    <t>Undervalued</t>
  </si>
  <si>
    <t>BUY</t>
  </si>
  <si>
    <t>Threshold</t>
  </si>
  <si>
    <t>Recommend</t>
  </si>
  <si>
    <t>Coca-Cola Co. Two- Stage DDM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</si>
</sst>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2" fillId="0" borderId="0" xfId="0" applyFont="1"/>
    <xf numFmtId="2" fontId="0" fillId="0" borderId="0" xfId="0" applyNumberFormat="1"/>
    <xf numFmtId="44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0" fontId="2" fillId="0" borderId="1" xfId="0" applyFont="1" applyBorder="1"/>
    <xf numFmtId="0" fontId="0" fillId="0" borderId="1" xfId="0" applyBorder="1"/>
    <xf numFmtId="2" fontId="4" fillId="3" borderId="1" xfId="0" applyNumberFormat="1" applyFont="1" applyFill="1" applyBorder="1"/>
    <xf numFmtId="10" fontId="4" fillId="3" borderId="1" xfId="0" applyNumberFormat="1" applyFont="1" applyFill="1" applyBorder="1"/>
    <xf numFmtId="10" fontId="0" fillId="0" borderId="1" xfId="0" applyNumberFormat="1" applyBorder="1"/>
    <xf numFmtId="14" fontId="4" fillId="0" borderId="1" xfId="0" applyNumberFormat="1" applyFont="1" applyBorder="1"/>
    <xf numFmtId="44" fontId="4" fillId="0" borderId="1" xfId="0" applyNumberFormat="1" applyFont="1" applyBorder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5" fillId="0" borderId="0" xfId="0" applyFont="1"/>
    <xf numFmtId="14" fontId="0" fillId="0" borderId="0" xfId="0" applyNumberFormat="1" applyAlignment="1">
      <alignment horizontal="left"/>
    </xf>
    <xf numFmtId="44" fontId="2" fillId="0" borderId="0" xfId="0" applyNumberFormat="1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6" xfId="0" applyBorder="1"/>
    <xf numFmtId="44" fontId="0" fillId="0" borderId="7" xfId="0" applyNumberFormat="1" applyBorder="1"/>
    <xf numFmtId="0" fontId="0" fillId="0" borderId="4" xfId="0" applyBorder="1"/>
    <xf numFmtId="44" fontId="0" fillId="0" borderId="5" xfId="0" applyNumberFormat="1" applyBorder="1"/>
    <xf numFmtId="0" fontId="0" fillId="0" borderId="2" xfId="0" applyBorder="1"/>
    <xf numFmtId="44" fontId="0" fillId="3" borderId="0" xfId="0" applyNumberFormat="1" applyFill="1"/>
    <xf numFmtId="0" fontId="0" fillId="0" borderId="9" xfId="0" applyBorder="1"/>
    <xf numFmtId="44" fontId="4" fillId="0" borderId="9" xfId="0" applyNumberFormat="1" applyFont="1" applyBorder="1"/>
    <xf numFmtId="0" fontId="5" fillId="0" borderId="1" xfId="0" applyFont="1" applyBorder="1"/>
    <xf numFmtId="10" fontId="4" fillId="3" borderId="9" xfId="0" applyNumberFormat="1" applyFont="1" applyFill="1" applyBorder="1"/>
    <xf numFmtId="44" fontId="4" fillId="0" borderId="1" xfId="1" applyNumberFormat="1" applyFont="1" applyBorder="1"/>
    <xf numFmtId="10" fontId="4" fillId="0" borderId="1" xfId="0" applyNumberFormat="1" applyFont="1" applyBorder="1"/>
    <xf numFmtId="0" fontId="0" fillId="0" borderId="8" xfId="0" applyBorder="1"/>
    <xf numFmtId="10" fontId="0" fillId="0" borderId="8" xfId="0" applyNumberFormat="1" applyBorder="1"/>
    <xf numFmtId="0" fontId="0" fillId="0" borderId="3" xfId="0" applyBorder="1" applyAlignment="1">
      <alignment horizontal="center"/>
    </xf>
    <xf numFmtId="44" fontId="0" fillId="5" borderId="0" xfId="0" applyNumberFormat="1" applyFill="1"/>
    <xf numFmtId="43" fontId="4" fillId="3" borderId="1" xfId="1" applyFont="1" applyFill="1" applyBorder="1"/>
    <xf numFmtId="44" fontId="0" fillId="0" borderId="3" xfId="0" applyNumberFormat="1" applyBorder="1"/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1EB4-E087-4A3F-9287-1A9FFB5334FF}">
  <dimension ref="A1:O55"/>
  <sheetViews>
    <sheetView showGridLines="0" tabSelected="1" zoomScaleNormal="100" workbookViewId="0">
      <selection activeCell="A2" sqref="A2"/>
    </sheetView>
  </sheetViews>
  <sheetFormatPr baseColWidth="10" defaultColWidth="8.83203125" defaultRowHeight="15" x14ac:dyDescent="0.2"/>
  <cols>
    <col min="1" max="1" width="25.6640625" customWidth="1"/>
    <col min="2" max="3" width="20.6640625" customWidth="1"/>
    <col min="4" max="13" width="12.6640625" customWidth="1"/>
    <col min="14" max="15" width="10.6640625" customWidth="1"/>
  </cols>
  <sheetData>
    <row r="1" spans="1:7" ht="27" x14ac:dyDescent="0.35">
      <c r="A1" s="1" t="s">
        <v>44</v>
      </c>
    </row>
    <row r="4" spans="1:7" x14ac:dyDescent="0.2">
      <c r="A4" s="47" t="s">
        <v>27</v>
      </c>
      <c r="B4" s="47"/>
    </row>
    <row r="7" spans="1:7" x14ac:dyDescent="0.2">
      <c r="A7" s="8" t="s">
        <v>2</v>
      </c>
      <c r="B7" s="13">
        <v>46043</v>
      </c>
      <c r="F7" s="27" t="s">
        <v>22</v>
      </c>
      <c r="G7" s="37" t="s">
        <v>41</v>
      </c>
    </row>
    <row r="8" spans="1:7" x14ac:dyDescent="0.2">
      <c r="F8" s="23" t="s">
        <v>23</v>
      </c>
      <c r="G8" s="24">
        <f>C45</f>
        <v>94.704756772197328</v>
      </c>
    </row>
    <row r="9" spans="1:7" x14ac:dyDescent="0.2">
      <c r="A9" s="8" t="s">
        <v>3</v>
      </c>
    </row>
    <row r="10" spans="1:7" x14ac:dyDescent="0.2">
      <c r="A10" s="9" t="s">
        <v>28</v>
      </c>
      <c r="B10" s="33">
        <v>13031</v>
      </c>
      <c r="C10" s="31" t="s">
        <v>32</v>
      </c>
    </row>
    <row r="11" spans="1:7" x14ac:dyDescent="0.2">
      <c r="A11" s="9" t="s">
        <v>29</v>
      </c>
      <c r="B11" s="14">
        <v>31247</v>
      </c>
      <c r="C11" s="31" t="s">
        <v>32</v>
      </c>
    </row>
    <row r="12" spans="1:7" x14ac:dyDescent="0.2">
      <c r="A12" s="9" t="s">
        <v>30</v>
      </c>
      <c r="B12" s="39">
        <v>4302</v>
      </c>
      <c r="C12" s="31" t="s">
        <v>32</v>
      </c>
    </row>
    <row r="13" spans="1:7" x14ac:dyDescent="0.2">
      <c r="A13" s="29" t="s">
        <v>31</v>
      </c>
      <c r="B13" s="30">
        <f>0.51 + 0.51 + 0.51 + 0.485</f>
        <v>2.0150000000000001</v>
      </c>
    </row>
    <row r="15" spans="1:7" x14ac:dyDescent="0.2">
      <c r="A15" s="8" t="s">
        <v>4</v>
      </c>
    </row>
    <row r="16" spans="1:7" x14ac:dyDescent="0.2">
      <c r="A16" s="9" t="s">
        <v>1</v>
      </c>
      <c r="B16" s="10">
        <v>0.39</v>
      </c>
    </row>
    <row r="17" spans="1:10" x14ac:dyDescent="0.2">
      <c r="A17" s="9" t="s">
        <v>5</v>
      </c>
      <c r="B17" s="32">
        <v>4.2000000000000003E-2</v>
      </c>
    </row>
    <row r="18" spans="1:10" x14ac:dyDescent="0.2">
      <c r="A18" s="9" t="s">
        <v>0</v>
      </c>
      <c r="B18" s="11">
        <v>0.06</v>
      </c>
    </row>
    <row r="21" spans="1:10" x14ac:dyDescent="0.2">
      <c r="A21" s="8" t="s">
        <v>6</v>
      </c>
      <c r="F21" s="45" t="s">
        <v>24</v>
      </c>
      <c r="G21" s="46"/>
    </row>
    <row r="22" spans="1:10" x14ac:dyDescent="0.2">
      <c r="A22" s="9" t="s">
        <v>33</v>
      </c>
      <c r="B22" s="9" t="s">
        <v>34</v>
      </c>
      <c r="F22" s="27" t="s">
        <v>25</v>
      </c>
      <c r="G22" s="40">
        <v>73.349999999999994</v>
      </c>
    </row>
    <row r="23" spans="1:10" x14ac:dyDescent="0.2">
      <c r="A23" s="9" t="s">
        <v>35</v>
      </c>
      <c r="B23" s="12">
        <f>$B$17+($B$18*$B$16)</f>
        <v>6.54E-2</v>
      </c>
      <c r="F23" s="25" t="s">
        <v>26</v>
      </c>
      <c r="G23" s="26">
        <f>C45</f>
        <v>94.704756772197328</v>
      </c>
    </row>
    <row r="24" spans="1:10" x14ac:dyDescent="0.2">
      <c r="A24" s="9" t="s">
        <v>36</v>
      </c>
      <c r="B24" s="12">
        <f>B13/(B10/B12)</f>
        <v>0.66522369733711928</v>
      </c>
      <c r="F24" s="25" t="s">
        <v>40</v>
      </c>
      <c r="G24" s="43">
        <f>(G22/G23)-1</f>
        <v>-0.22548768932023167</v>
      </c>
    </row>
    <row r="25" spans="1:10" x14ac:dyDescent="0.2">
      <c r="A25" s="9" t="s">
        <v>37</v>
      </c>
      <c r="B25" s="12">
        <f>B10/B11</f>
        <v>0.41703203507536724</v>
      </c>
      <c r="F25" s="25" t="s">
        <v>42</v>
      </c>
      <c r="G25" s="44">
        <v>0.1</v>
      </c>
    </row>
    <row r="26" spans="1:10" x14ac:dyDescent="0.2">
      <c r="A26" s="35" t="s">
        <v>39</v>
      </c>
      <c r="B26" s="36">
        <f>B25*(1-B24)</f>
        <v>0.13961244279450824</v>
      </c>
      <c r="F26" s="41" t="s">
        <v>43</v>
      </c>
      <c r="G26" s="42" t="s">
        <v>41</v>
      </c>
    </row>
    <row r="27" spans="1:10" x14ac:dyDescent="0.2">
      <c r="A27" s="9" t="s">
        <v>38</v>
      </c>
      <c r="B27" s="34">
        <v>0.03</v>
      </c>
    </row>
    <row r="29" spans="1:10" x14ac:dyDescent="0.2">
      <c r="A29" s="2" t="s">
        <v>7</v>
      </c>
    </row>
    <row r="30" spans="1:10" x14ac:dyDescent="0.2">
      <c r="A30" s="2"/>
      <c r="D30" s="16"/>
      <c r="E30" s="16"/>
      <c r="F30" s="17" t="s">
        <v>11</v>
      </c>
      <c r="G30" s="16"/>
      <c r="H30" s="16"/>
      <c r="I30" s="21" t="s">
        <v>12</v>
      </c>
    </row>
    <row r="31" spans="1:10" x14ac:dyDescent="0.2">
      <c r="A31" s="18" t="s">
        <v>8</v>
      </c>
      <c r="C31" t="s">
        <v>2</v>
      </c>
      <c r="D31" s="6">
        <f>$B$26</f>
        <v>0.13961244279450824</v>
      </c>
      <c r="E31" s="6">
        <f t="shared" ref="E31:H31" si="0">$B$26</f>
        <v>0.13961244279450824</v>
      </c>
      <c r="F31" s="6">
        <f t="shared" si="0"/>
        <v>0.13961244279450824</v>
      </c>
      <c r="G31" s="6">
        <f t="shared" si="0"/>
        <v>0.13961244279450824</v>
      </c>
      <c r="H31" s="6">
        <f t="shared" si="0"/>
        <v>0.13961244279450824</v>
      </c>
      <c r="I31" s="6">
        <f>B27</f>
        <v>0.03</v>
      </c>
      <c r="J31" s="6"/>
    </row>
    <row r="32" spans="1:10" x14ac:dyDescent="0.2">
      <c r="A32" s="18" t="s">
        <v>9</v>
      </c>
      <c r="C32" s="19">
        <f>$B$7</f>
        <v>46043</v>
      </c>
      <c r="D32" s="7">
        <v>46387</v>
      </c>
      <c r="E32" s="7">
        <v>46752</v>
      </c>
      <c r="F32" s="7">
        <v>47118</v>
      </c>
      <c r="G32" s="7">
        <v>47483</v>
      </c>
      <c r="H32" s="7">
        <v>47848</v>
      </c>
      <c r="I32" s="7">
        <v>48213</v>
      </c>
    </row>
    <row r="33" spans="1:15" x14ac:dyDescent="0.2">
      <c r="A33" s="2" t="s">
        <v>10</v>
      </c>
      <c r="C33" s="2"/>
      <c r="D33" s="20">
        <f>B13+(B13*D31)</f>
        <v>2.2963190722309341</v>
      </c>
      <c r="E33" s="20">
        <f>D33+(D33*E31)</f>
        <v>2.6169137873407138</v>
      </c>
      <c r="F33" s="20">
        <f t="shared" ref="F33:H33" si="1">E33+(E33*F31)</f>
        <v>2.9822675137739791</v>
      </c>
      <c r="G33" s="20">
        <f t="shared" si="1"/>
        <v>3.3986291664386692</v>
      </c>
      <c r="H33" s="20">
        <f t="shared" si="1"/>
        <v>3.8731200865178352</v>
      </c>
      <c r="I33" s="20">
        <f>H33+(H33*I31)</f>
        <v>3.9893136891133705</v>
      </c>
      <c r="J33" s="4"/>
    </row>
    <row r="35" spans="1:15" x14ac:dyDescent="0.2">
      <c r="A35" s="18" t="s">
        <v>13</v>
      </c>
      <c r="D35" s="5">
        <f>YEARFRAC(C32,D32,1)</f>
        <v>0.94246575342465755</v>
      </c>
      <c r="E35" s="5">
        <f t="shared" ref="E35:I35" si="2">YEARFRAC(D32,E32,1)</f>
        <v>1</v>
      </c>
      <c r="F35" s="5">
        <f t="shared" si="2"/>
        <v>1</v>
      </c>
      <c r="G35" s="5">
        <f t="shared" si="2"/>
        <v>1</v>
      </c>
      <c r="H35" s="5">
        <f t="shared" si="2"/>
        <v>1</v>
      </c>
      <c r="I35" s="5">
        <f t="shared" si="2"/>
        <v>1</v>
      </c>
    </row>
    <row r="36" spans="1:15" x14ac:dyDescent="0.2">
      <c r="A36" t="s">
        <v>14</v>
      </c>
      <c r="D36" s="4">
        <f>D33*D35</f>
        <v>2.1642020845135379</v>
      </c>
      <c r="E36" s="4">
        <f t="shared" ref="E36:I36" si="3">E33*E35</f>
        <v>2.6169137873407138</v>
      </c>
      <c r="F36" s="4">
        <f t="shared" si="3"/>
        <v>2.9822675137739791</v>
      </c>
      <c r="G36" s="4">
        <f t="shared" si="3"/>
        <v>3.3986291664386692</v>
      </c>
      <c r="H36" s="4">
        <f t="shared" si="3"/>
        <v>3.8731200865178352</v>
      </c>
      <c r="I36" s="4">
        <f t="shared" si="3"/>
        <v>3.9893136891133705</v>
      </c>
    </row>
    <row r="38" spans="1:15" x14ac:dyDescent="0.2">
      <c r="A38" s="2" t="s">
        <v>15</v>
      </c>
      <c r="C38" s="19">
        <f>$B$7</f>
        <v>46043</v>
      </c>
      <c r="D38" s="7">
        <v>46387</v>
      </c>
      <c r="E38" s="7">
        <v>46752</v>
      </c>
      <c r="F38" s="7">
        <v>47118</v>
      </c>
      <c r="G38" s="7">
        <v>47483</v>
      </c>
      <c r="H38" s="7">
        <v>47848</v>
      </c>
      <c r="I38" s="7">
        <v>48213</v>
      </c>
    </row>
    <row r="39" spans="1:15" x14ac:dyDescent="0.2">
      <c r="A39" t="s">
        <v>16</v>
      </c>
      <c r="D39" s="3">
        <f>D35</f>
        <v>0.94246575342465755</v>
      </c>
      <c r="E39" s="3">
        <f>D39+E35</f>
        <v>1.9424657534246577</v>
      </c>
      <c r="F39" s="3">
        <f t="shared" ref="F39:H39" si="4">E39+F35</f>
        <v>2.9424657534246577</v>
      </c>
      <c r="G39" s="3">
        <f t="shared" si="4"/>
        <v>3.9424657534246577</v>
      </c>
      <c r="H39" s="3">
        <f t="shared" si="4"/>
        <v>4.9424657534246581</v>
      </c>
      <c r="I39" s="3">
        <f>H39</f>
        <v>4.9424657534246581</v>
      </c>
    </row>
    <row r="40" spans="1:15" x14ac:dyDescent="0.2">
      <c r="A40" t="s">
        <v>17</v>
      </c>
      <c r="D40" s="4">
        <f>D36/((1+$B$23)^D39)</f>
        <v>2.0387690900339921</v>
      </c>
      <c r="E40" s="4">
        <f>E36/((1+$B$23)^E39)</f>
        <v>2.3139126078600918</v>
      </c>
      <c r="F40" s="4">
        <f>F36/((1+$B$23)^F39)</f>
        <v>2.4750925468898544</v>
      </c>
      <c r="G40" s="4">
        <f>G36/((1+$B$23)^G39)</f>
        <v>2.647499778021051</v>
      </c>
      <c r="H40" s="4">
        <f>H36/((1+$B$23)^H39)</f>
        <v>2.831916359422272</v>
      </c>
      <c r="I40" s="4">
        <f>(I33/(B23-B27))/((1+B23)^H39)</f>
        <v>82.397566389970066</v>
      </c>
    </row>
    <row r="42" spans="1:15" x14ac:dyDescent="0.2">
      <c r="A42" s="2" t="s">
        <v>18</v>
      </c>
      <c r="J42" s="15"/>
      <c r="K42" s="15"/>
      <c r="L42" s="15"/>
      <c r="M42" s="15"/>
      <c r="N42" s="15"/>
      <c r="O42" s="22"/>
    </row>
    <row r="43" spans="1:15" x14ac:dyDescent="0.2">
      <c r="A43" t="s">
        <v>19</v>
      </c>
      <c r="C43" s="4">
        <f>SUM(D40:H40)</f>
        <v>12.307190382227262</v>
      </c>
      <c r="J43" s="7"/>
      <c r="K43" s="7"/>
      <c r="L43" s="7"/>
      <c r="M43" s="7"/>
      <c r="N43" s="7"/>
      <c r="O43" s="7"/>
    </row>
    <row r="44" spans="1:15" x14ac:dyDescent="0.2">
      <c r="A44" t="s">
        <v>20</v>
      </c>
      <c r="C44" s="4">
        <f>I40</f>
        <v>82.397566389970066</v>
      </c>
    </row>
    <row r="45" spans="1:15" x14ac:dyDescent="0.2">
      <c r="A45" t="s">
        <v>21</v>
      </c>
      <c r="C45" s="38">
        <f>SUM(C43:C44)</f>
        <v>94.704756772197328</v>
      </c>
    </row>
    <row r="55" spans="1:9" x14ac:dyDescent="0.2">
      <c r="A55" s="15"/>
      <c r="B55" s="15"/>
      <c r="C55" s="28"/>
      <c r="D55" s="15"/>
      <c r="E55" s="15"/>
      <c r="F55" s="15"/>
      <c r="G55" s="15"/>
      <c r="H55" s="15"/>
      <c r="I55" s="15"/>
    </row>
  </sheetData>
  <mergeCells count="2">
    <mergeCell ref="F21:G21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Vuong, Dat B</dc:creator>
  <cp:lastModifiedBy>Vuong, Dat B</cp:lastModifiedBy>
  <dcterms:created xsi:type="dcterms:W3CDTF">2026-01-28T05:13:22Z</dcterms:created>
  <dcterms:modified xsi:type="dcterms:W3CDTF">2026-01-29T20:57:46Z</dcterms:modified>
</cp:coreProperties>
</file>