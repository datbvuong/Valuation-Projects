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vuong/Downloads/"/>
    </mc:Choice>
  </mc:AlternateContent>
  <xr:revisionPtr revIDLastSave="0" documentId="8_{F7EB9D39-A5C4-F94E-9167-6FDC1F88D335}" xr6:coauthVersionLast="47" xr6:coauthVersionMax="47" xr10:uidLastSave="{00000000-0000-0000-0000-000000000000}"/>
  <bookViews>
    <workbookView xWindow="-120" yWindow="760" windowWidth="25820" windowHeight="13900" xr2:uid="{A57410E9-887F-4B42-9582-48B08BAD5EA4}"/>
  </bookViews>
  <sheets>
    <sheet name="Inputs" sheetId="1" r:id="rId1"/>
  </sheets>
  <definedNames>
    <definedName name="Growth">Inputs!$B$46:$B$46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8" i="1"/>
  <c r="I50" i="1"/>
  <c r="C54" i="1"/>
  <c r="C53" i="1"/>
  <c r="C55" i="1"/>
  <c r="C45" i="1"/>
  <c r="I39" i="1"/>
  <c r="D40" i="1"/>
  <c r="D49" i="1"/>
  <c r="D50" i="1" s="1"/>
  <c r="D33" i="1"/>
  <c r="D35" i="1"/>
  <c r="D39" i="1" s="1"/>
  <c r="C48" i="1"/>
  <c r="C38" i="1"/>
  <c r="F35" i="1"/>
  <c r="G35" i="1"/>
  <c r="H35" i="1"/>
  <c r="I35" i="1"/>
  <c r="E35" i="1"/>
  <c r="I31" i="1"/>
  <c r="H31" i="1"/>
  <c r="G31" i="1"/>
  <c r="F31" i="1"/>
  <c r="E31" i="1"/>
  <c r="D31" i="1"/>
  <c r="E33" i="1" s="1"/>
  <c r="C32" i="1"/>
  <c r="B16" i="1"/>
  <c r="E49" i="1" l="1"/>
  <c r="E39" i="1"/>
  <c r="F39" i="1" s="1"/>
  <c r="G39" i="1" s="1"/>
  <c r="H39" i="1" s="1"/>
  <c r="F33" i="1"/>
  <c r="E36" i="1"/>
  <c r="E40" i="1"/>
  <c r="D36" i="1"/>
  <c r="E50" i="1" l="1"/>
  <c r="F49" i="1"/>
  <c r="G33" i="1"/>
  <c r="F36" i="1"/>
  <c r="F40" i="1" s="1"/>
  <c r="F50" i="1" l="1"/>
  <c r="G49" i="1"/>
  <c r="H33" i="1"/>
  <c r="G36" i="1"/>
  <c r="G40" i="1" s="1"/>
  <c r="H49" i="1" l="1"/>
  <c r="G50" i="1"/>
  <c r="I33" i="1"/>
  <c r="H36" i="1"/>
  <c r="H40" i="1" s="1"/>
  <c r="C43" i="1" s="1"/>
  <c r="H50" i="1" l="1"/>
  <c r="I49" i="1"/>
  <c r="I36" i="1"/>
  <c r="I40" i="1"/>
  <c r="C44" i="1" s="1"/>
</calcChain>
</file>

<file path=xl/sharedStrings.xml><?xml version="1.0" encoding="utf-8"?>
<sst xmlns="http://schemas.openxmlformats.org/spreadsheetml/2006/main" count="47" uniqueCount="38">
  <si>
    <t>Market Risk Premium</t>
  </si>
  <si>
    <t>Beta</t>
  </si>
  <si>
    <t>Terminal Growth Rate</t>
  </si>
  <si>
    <t>Forecasted Growth Rates</t>
  </si>
  <si>
    <t>Year</t>
  </si>
  <si>
    <t>Growth %</t>
  </si>
  <si>
    <t>Cost of Equity</t>
  </si>
  <si>
    <t>Valuation Date</t>
  </si>
  <si>
    <t>Financial Data</t>
  </si>
  <si>
    <t>The Procter &amp; Gamble Company (PG)</t>
  </si>
  <si>
    <t>Latest Dividend Payout</t>
  </si>
  <si>
    <t>CAPM Data</t>
  </si>
  <si>
    <t xml:space="preserve">Risk Free Rate </t>
  </si>
  <si>
    <t>Model Assumptions</t>
  </si>
  <si>
    <t>Pro Formas</t>
  </si>
  <si>
    <t>Growth Rates</t>
  </si>
  <si>
    <t>Year Ending</t>
  </si>
  <si>
    <t>Expected Dividends</t>
  </si>
  <si>
    <t>Forecast Period</t>
  </si>
  <si>
    <t>Terminal CF</t>
  </si>
  <si>
    <t>Adjustment For Participation</t>
  </si>
  <si>
    <t>Adjusted Cash Flow</t>
  </si>
  <si>
    <t>Year-End Convention</t>
  </si>
  <si>
    <t>Periods to Discount</t>
  </si>
  <si>
    <t>Discounted Cash Flows</t>
  </si>
  <si>
    <t>Valuation Analysis</t>
  </si>
  <si>
    <t>PV of Discerete Forecase Period CF</t>
  </si>
  <si>
    <t>PV of Terminal Value</t>
  </si>
  <si>
    <t>Intrinsic Value of Equity</t>
  </si>
  <si>
    <t>Mid-Year Convention</t>
  </si>
  <si>
    <t>Rating:</t>
  </si>
  <si>
    <t>HOLD</t>
  </si>
  <si>
    <t>Target Price:</t>
  </si>
  <si>
    <t>Recommendation</t>
  </si>
  <si>
    <t>Current Price</t>
  </si>
  <si>
    <t>Intrinsic Price</t>
  </si>
  <si>
    <t>Overvalued</t>
  </si>
  <si>
    <t>PG Dividend Discount Model (DDM)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</si>
</sst>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2" fillId="0" borderId="0" xfId="0" applyFon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5" fillId="3" borderId="1" xfId="0" applyNumberFormat="1" applyFont="1" applyFill="1" applyBorder="1"/>
    <xf numFmtId="10" fontId="5" fillId="3" borderId="1" xfId="0" applyNumberFormat="1" applyFont="1" applyFill="1" applyBorder="1"/>
    <xf numFmtId="10" fontId="0" fillId="0" borderId="1" xfId="0" applyNumberFormat="1" applyBorder="1"/>
    <xf numFmtId="14" fontId="5" fillId="0" borderId="1" xfId="0" applyNumberFormat="1" applyFont="1" applyBorder="1"/>
    <xf numFmtId="44" fontId="5" fillId="0" borderId="1" xfId="0" applyNumberFormat="1" applyFont="1" applyBorder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3" fillId="4" borderId="0" xfId="0" applyFont="1" applyFill="1"/>
    <xf numFmtId="0" fontId="6" fillId="0" borderId="0" xfId="0" applyFont="1"/>
    <xf numFmtId="14" fontId="0" fillId="0" borderId="0" xfId="0" applyNumberFormat="1" applyAlignment="1">
      <alignment horizontal="left"/>
    </xf>
    <xf numFmtId="44" fontId="2" fillId="0" borderId="0" xfId="0" applyNumberFormat="1" applyFont="1"/>
    <xf numFmtId="0" fontId="2" fillId="2" borderId="0" xfId="0" applyFont="1" applyFill="1" applyAlignment="1">
      <alignment horizontal="center"/>
    </xf>
    <xf numFmtId="10" fontId="5" fillId="3" borderId="1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44" fontId="0" fillId="5" borderId="0" xfId="0" applyNumberFormat="1" applyFill="1"/>
    <xf numFmtId="0" fontId="0" fillId="0" borderId="6" xfId="0" applyBorder="1"/>
    <xf numFmtId="44" fontId="0" fillId="0" borderId="7" xfId="0" applyNumberFormat="1" applyBorder="1"/>
    <xf numFmtId="0" fontId="0" fillId="0" borderId="4" xfId="0" applyBorder="1"/>
    <xf numFmtId="44" fontId="0" fillId="0" borderId="5" xfId="0" applyNumberFormat="1" applyBorder="1"/>
    <xf numFmtId="10" fontId="0" fillId="0" borderId="7" xfId="0" applyNumberFormat="1" applyBorder="1"/>
    <xf numFmtId="0" fontId="0" fillId="0" borderId="2" xfId="0" applyBorder="1"/>
    <xf numFmtId="0" fontId="0" fillId="0" borderId="3" xfId="0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1EB4-E087-4A3F-9287-1A9FFB5334FF}">
  <dimension ref="A1:O55"/>
  <sheetViews>
    <sheetView showGridLines="0" tabSelected="1" topLeftCell="A20" zoomScaleNormal="100" workbookViewId="0">
      <selection activeCell="A2" sqref="A2"/>
    </sheetView>
  </sheetViews>
  <sheetFormatPr baseColWidth="10" defaultColWidth="8.83203125" defaultRowHeight="15" x14ac:dyDescent="0.2"/>
  <cols>
    <col min="1" max="3" width="20.6640625" customWidth="1"/>
    <col min="4" max="13" width="12.6640625" customWidth="1"/>
    <col min="14" max="15" width="10.6640625" customWidth="1"/>
  </cols>
  <sheetData>
    <row r="1" spans="1:7" ht="27" x14ac:dyDescent="0.35">
      <c r="A1" s="1" t="s">
        <v>37</v>
      </c>
    </row>
    <row r="4" spans="1:7" x14ac:dyDescent="0.2">
      <c r="A4" s="19" t="s">
        <v>9</v>
      </c>
      <c r="B4" s="20"/>
    </row>
    <row r="7" spans="1:7" x14ac:dyDescent="0.2">
      <c r="A7" s="8" t="s">
        <v>7</v>
      </c>
      <c r="B7" s="15">
        <v>46043</v>
      </c>
      <c r="F7" s="33" t="s">
        <v>30</v>
      </c>
      <c r="G7" s="34" t="s">
        <v>31</v>
      </c>
    </row>
    <row r="8" spans="1:7" x14ac:dyDescent="0.2">
      <c r="F8" s="28" t="s">
        <v>32</v>
      </c>
      <c r="G8" s="29">
        <f>C55</f>
        <v>145.07748722207191</v>
      </c>
    </row>
    <row r="9" spans="1:7" x14ac:dyDescent="0.2">
      <c r="A9" s="8" t="s">
        <v>8</v>
      </c>
      <c r="B9" s="9"/>
    </row>
    <row r="10" spans="1:7" x14ac:dyDescent="0.2">
      <c r="A10" s="9" t="s">
        <v>10</v>
      </c>
      <c r="B10" s="16">
        <v>3.3</v>
      </c>
    </row>
    <row r="12" spans="1:7" x14ac:dyDescent="0.2">
      <c r="A12" s="8" t="s">
        <v>11</v>
      </c>
      <c r="B12" s="9"/>
      <c r="F12" s="35" t="s">
        <v>33</v>
      </c>
      <c r="G12" s="36"/>
    </row>
    <row r="13" spans="1:7" x14ac:dyDescent="0.2">
      <c r="A13" s="9" t="s">
        <v>1</v>
      </c>
      <c r="B13" s="12">
        <v>0.4</v>
      </c>
      <c r="F13" s="30" t="s">
        <v>34</v>
      </c>
      <c r="G13" s="31">
        <v>146</v>
      </c>
    </row>
    <row r="14" spans="1:7" x14ac:dyDescent="0.2">
      <c r="A14" s="9" t="s">
        <v>12</v>
      </c>
      <c r="B14" s="13">
        <v>4.2000000000000003E-2</v>
      </c>
      <c r="F14" s="30" t="s">
        <v>35</v>
      </c>
      <c r="G14" s="31">
        <f>C55</f>
        <v>145.07748722207191</v>
      </c>
    </row>
    <row r="15" spans="1:7" x14ac:dyDescent="0.2">
      <c r="A15" s="9" t="s">
        <v>0</v>
      </c>
      <c r="B15" s="13">
        <v>0.05</v>
      </c>
      <c r="F15" s="28" t="s">
        <v>36</v>
      </c>
      <c r="G15" s="32">
        <f>(G13/G14)-1</f>
        <v>6.3587590024631879E-3</v>
      </c>
    </row>
    <row r="16" spans="1:7" x14ac:dyDescent="0.2">
      <c r="A16" s="9" t="s">
        <v>6</v>
      </c>
      <c r="B16" s="14">
        <f>$B$14+($B$15*$B$13)</f>
        <v>6.2000000000000006E-2</v>
      </c>
    </row>
    <row r="18" spans="1:10" x14ac:dyDescent="0.2">
      <c r="A18" s="2" t="s">
        <v>13</v>
      </c>
    </row>
    <row r="20" spans="1:10" x14ac:dyDescent="0.2">
      <c r="A20" s="8" t="s">
        <v>3</v>
      </c>
      <c r="B20" s="9"/>
    </row>
    <row r="21" spans="1:10" x14ac:dyDescent="0.2">
      <c r="A21" s="10" t="s">
        <v>4</v>
      </c>
      <c r="B21" s="10" t="s">
        <v>5</v>
      </c>
    </row>
    <row r="22" spans="1:10" x14ac:dyDescent="0.2">
      <c r="A22" s="11">
        <v>2026</v>
      </c>
      <c r="B22" s="25">
        <v>0.15</v>
      </c>
    </row>
    <row r="23" spans="1:10" x14ac:dyDescent="0.2">
      <c r="A23" s="11">
        <v>2027</v>
      </c>
      <c r="B23" s="25">
        <v>0.1</v>
      </c>
    </row>
    <row r="24" spans="1:10" x14ac:dyDescent="0.2">
      <c r="A24" s="11">
        <v>2028</v>
      </c>
      <c r="B24" s="25">
        <v>0.09</v>
      </c>
    </row>
    <row r="25" spans="1:10" x14ac:dyDescent="0.2">
      <c r="A25" s="11">
        <v>2029</v>
      </c>
      <c r="B25" s="25">
        <v>7.0000000000000007E-2</v>
      </c>
    </row>
    <row r="26" spans="1:10" x14ac:dyDescent="0.2">
      <c r="A26" s="11">
        <v>2030</v>
      </c>
      <c r="B26" s="25">
        <v>0.05</v>
      </c>
    </row>
    <row r="27" spans="1:10" x14ac:dyDescent="0.2">
      <c r="A27" s="9" t="s">
        <v>2</v>
      </c>
      <c r="B27" s="13">
        <v>0.03</v>
      </c>
    </row>
    <row r="29" spans="1:10" x14ac:dyDescent="0.2">
      <c r="A29" s="2" t="s">
        <v>14</v>
      </c>
    </row>
    <row r="30" spans="1:10" x14ac:dyDescent="0.2">
      <c r="A30" s="2"/>
      <c r="D30" s="18"/>
      <c r="E30" s="18"/>
      <c r="F30" s="19" t="s">
        <v>18</v>
      </c>
      <c r="G30" s="18"/>
      <c r="H30" s="18"/>
      <c r="I30" s="24" t="s">
        <v>19</v>
      </c>
    </row>
    <row r="31" spans="1:10" x14ac:dyDescent="0.2">
      <c r="A31" s="21" t="s">
        <v>15</v>
      </c>
      <c r="C31" t="s">
        <v>7</v>
      </c>
      <c r="D31" s="6">
        <f>B22</f>
        <v>0.15</v>
      </c>
      <c r="E31" s="6">
        <f>B23</f>
        <v>0.1</v>
      </c>
      <c r="F31" s="6">
        <f>B24</f>
        <v>0.09</v>
      </c>
      <c r="G31" s="6">
        <f>B25</f>
        <v>7.0000000000000007E-2</v>
      </c>
      <c r="H31" s="6">
        <f>B26</f>
        <v>0.05</v>
      </c>
      <c r="I31" s="6">
        <f>B27</f>
        <v>0.03</v>
      </c>
      <c r="J31" s="6"/>
    </row>
    <row r="32" spans="1:10" x14ac:dyDescent="0.2">
      <c r="A32" s="21" t="s">
        <v>16</v>
      </c>
      <c r="C32" s="22">
        <f>$B$7</f>
        <v>46043</v>
      </c>
      <c r="D32" s="7">
        <v>46387</v>
      </c>
      <c r="E32" s="7">
        <v>46752</v>
      </c>
      <c r="F32" s="7">
        <v>47118</v>
      </c>
      <c r="G32" s="7">
        <v>47483</v>
      </c>
      <c r="H32" s="7">
        <v>47848</v>
      </c>
      <c r="I32" s="7">
        <v>48213</v>
      </c>
    </row>
    <row r="33" spans="1:15" x14ac:dyDescent="0.2">
      <c r="A33" s="2" t="s">
        <v>17</v>
      </c>
      <c r="C33" s="2"/>
      <c r="D33" s="23">
        <f>B10+(B10*D31)</f>
        <v>3.7949999999999999</v>
      </c>
      <c r="E33" s="23">
        <f>D33+(D33*E31)</f>
        <v>4.1745000000000001</v>
      </c>
      <c r="F33" s="23">
        <f t="shared" ref="F33:I33" si="0">E33+(E33*F31)</f>
        <v>4.5502050000000001</v>
      </c>
      <c r="G33" s="23">
        <f t="shared" si="0"/>
        <v>4.8687193500000001</v>
      </c>
      <c r="H33" s="23">
        <f t="shared" si="0"/>
        <v>5.1121553175000001</v>
      </c>
      <c r="I33" s="23">
        <f t="shared" si="0"/>
        <v>5.2655199770249999</v>
      </c>
      <c r="J33" s="4"/>
    </row>
    <row r="35" spans="1:15" x14ac:dyDescent="0.2">
      <c r="A35" s="21" t="s">
        <v>20</v>
      </c>
      <c r="D35" s="5">
        <f>YEARFRAC(DATE(2026,1,21),DATE(2026,12,31),1)</f>
        <v>0.94246575342465755</v>
      </c>
      <c r="E35" s="5">
        <f>1</f>
        <v>1</v>
      </c>
      <c r="F35" s="5">
        <f>1</f>
        <v>1</v>
      </c>
      <c r="G35" s="5">
        <f>1</f>
        <v>1</v>
      </c>
      <c r="H35" s="5">
        <f>1</f>
        <v>1</v>
      </c>
      <c r="I35" s="5">
        <f>1</f>
        <v>1</v>
      </c>
    </row>
    <row r="36" spans="1:15" x14ac:dyDescent="0.2">
      <c r="A36" t="s">
        <v>21</v>
      </c>
      <c r="D36" s="4">
        <f>D33*D35</f>
        <v>3.5766575342465754</v>
      </c>
      <c r="E36" s="4">
        <f t="shared" ref="E36:I36" si="1">E33*E35</f>
        <v>4.1745000000000001</v>
      </c>
      <c r="F36" s="4">
        <f t="shared" si="1"/>
        <v>4.5502050000000001</v>
      </c>
      <c r="G36" s="4">
        <f t="shared" si="1"/>
        <v>4.8687193500000001</v>
      </c>
      <c r="H36" s="4">
        <f t="shared" si="1"/>
        <v>5.1121553175000001</v>
      </c>
      <c r="I36" s="4">
        <f t="shared" si="1"/>
        <v>5.2655199770249999</v>
      </c>
    </row>
    <row r="38" spans="1:15" x14ac:dyDescent="0.2">
      <c r="A38" s="2" t="s">
        <v>22</v>
      </c>
      <c r="C38" s="22">
        <f>$B$7</f>
        <v>46043</v>
      </c>
      <c r="D38" s="7">
        <v>46387</v>
      </c>
      <c r="E38" s="7">
        <v>46752</v>
      </c>
      <c r="F38" s="7">
        <v>47118</v>
      </c>
      <c r="G38" s="7">
        <v>47483</v>
      </c>
      <c r="H38" s="7">
        <v>47848</v>
      </c>
      <c r="I38" s="7">
        <v>48213</v>
      </c>
    </row>
    <row r="39" spans="1:15" x14ac:dyDescent="0.2">
      <c r="A39" t="s">
        <v>23</v>
      </c>
      <c r="D39" s="3">
        <f>D35</f>
        <v>0.94246575342465755</v>
      </c>
      <c r="E39" s="3">
        <f>D39+E35</f>
        <v>1.9424657534246577</v>
      </c>
      <c r="F39" s="3">
        <f t="shared" ref="F39:H39" si="2">E39+F35</f>
        <v>2.9424657534246577</v>
      </c>
      <c r="G39" s="3">
        <f t="shared" si="2"/>
        <v>3.9424657534246577</v>
      </c>
      <c r="H39" s="3">
        <f t="shared" si="2"/>
        <v>4.9424657534246581</v>
      </c>
      <c r="I39" s="3">
        <f>H39</f>
        <v>4.9424657534246581</v>
      </c>
    </row>
    <row r="40" spans="1:15" x14ac:dyDescent="0.2">
      <c r="A40" t="s">
        <v>24</v>
      </c>
      <c r="D40" s="4">
        <f>D36/((1+$B$16)^D39)</f>
        <v>3.3795268093029103</v>
      </c>
      <c r="E40" s="4">
        <f t="shared" ref="E40:H40" si="3">E36/((1+$B$16)^E39)</f>
        <v>3.7141418504333594</v>
      </c>
      <c r="F40" s="4">
        <f t="shared" si="3"/>
        <v>3.8120664943242581</v>
      </c>
      <c r="G40" s="4">
        <f t="shared" si="3"/>
        <v>3.8407826261082447</v>
      </c>
      <c r="H40" s="4">
        <f t="shared" si="3"/>
        <v>3.7973839523669084</v>
      </c>
      <c r="I40" s="4">
        <f>(I33/(B16-B27))/((1+B16)^H39)</f>
        <v>122.22829596680981</v>
      </c>
    </row>
    <row r="42" spans="1:15" x14ac:dyDescent="0.2">
      <c r="A42" s="2" t="s">
        <v>25</v>
      </c>
      <c r="J42" s="17"/>
      <c r="K42" s="17"/>
      <c r="L42" s="17"/>
      <c r="M42" s="17"/>
      <c r="N42" s="17"/>
      <c r="O42" s="26"/>
    </row>
    <row r="43" spans="1:15" x14ac:dyDescent="0.2">
      <c r="A43" t="s">
        <v>26</v>
      </c>
      <c r="C43" s="4">
        <f>SUM(D40:H40)</f>
        <v>18.54390173253568</v>
      </c>
      <c r="J43" s="7"/>
      <c r="K43" s="7"/>
      <c r="L43" s="7"/>
      <c r="M43" s="7"/>
      <c r="N43" s="7"/>
      <c r="O43" s="7"/>
    </row>
    <row r="44" spans="1:15" x14ac:dyDescent="0.2">
      <c r="A44" t="s">
        <v>27</v>
      </c>
      <c r="C44" s="4">
        <f>I40</f>
        <v>122.22829596680981</v>
      </c>
    </row>
    <row r="45" spans="1:15" x14ac:dyDescent="0.2">
      <c r="A45" t="s">
        <v>28</v>
      </c>
      <c r="C45" s="4">
        <f>SUM(C43:C44)</f>
        <v>140.7721976993455</v>
      </c>
    </row>
    <row r="47" spans="1:15" x14ac:dyDescent="0.2">
      <c r="D47" s="18"/>
      <c r="E47" s="18"/>
      <c r="F47" s="19" t="s">
        <v>18</v>
      </c>
      <c r="G47" s="18"/>
      <c r="H47" s="18"/>
      <c r="I47" s="24" t="s">
        <v>19</v>
      </c>
    </row>
    <row r="48" spans="1:15" x14ac:dyDescent="0.2">
      <c r="A48" s="2" t="s">
        <v>29</v>
      </c>
      <c r="C48" s="22">
        <f>$B$7</f>
        <v>46043</v>
      </c>
      <c r="D48" s="7">
        <v>46203</v>
      </c>
      <c r="E48" s="7">
        <v>46568</v>
      </c>
      <c r="F48" s="7">
        <v>46934</v>
      </c>
      <c r="G48" s="7">
        <v>47299</v>
      </c>
      <c r="H48" s="7">
        <v>47664</v>
      </c>
      <c r="I48" s="7">
        <v>48029</v>
      </c>
    </row>
    <row r="49" spans="1:9" x14ac:dyDescent="0.2">
      <c r="A49" t="s">
        <v>23</v>
      </c>
      <c r="D49" s="3">
        <f>YEARFRAC(C48,D48)</f>
        <v>0.44166666666666665</v>
      </c>
      <c r="E49" s="3">
        <f>YEARFRAC(D48,E48)+D49</f>
        <v>1.4416666666666667</v>
      </c>
      <c r="F49" s="3">
        <f>YEARFRAC(E48,F48)+E49</f>
        <v>2.4416666666666664</v>
      </c>
      <c r="G49" s="3">
        <f t="shared" ref="G49:H49" si="4">YEARFRAC(F48,G48)+F49</f>
        <v>3.4416666666666664</v>
      </c>
      <c r="H49" s="3">
        <f t="shared" si="4"/>
        <v>4.4416666666666664</v>
      </c>
      <c r="I49" s="3">
        <f>H49</f>
        <v>4.4416666666666664</v>
      </c>
    </row>
    <row r="50" spans="1:9" x14ac:dyDescent="0.2">
      <c r="A50" t="s">
        <v>24</v>
      </c>
      <c r="D50" s="4">
        <f>D36/((1+$B$16)^D49)</f>
        <v>3.4828841597006051</v>
      </c>
      <c r="E50" s="4">
        <f>E36/((1+$B$16)^E49)</f>
        <v>3.8277328595667259</v>
      </c>
      <c r="F50" s="4">
        <f>F36/((1+$B$16)^F49)</f>
        <v>3.9286523699884475</v>
      </c>
      <c r="G50" s="4">
        <f>G36/((1+$B$16)^G49)</f>
        <v>3.9582467381239534</v>
      </c>
      <c r="H50" s="4">
        <f>H36/((1+$B$16)^H49)</f>
        <v>3.9135207862807451</v>
      </c>
      <c r="I50" s="27">
        <f>(I33/($B$16-I31))/((1+$B$16)^I49)</f>
        <v>125.96645030841144</v>
      </c>
    </row>
    <row r="52" spans="1:9" x14ac:dyDescent="0.2">
      <c r="A52" s="2" t="s">
        <v>25</v>
      </c>
    </row>
    <row r="53" spans="1:9" x14ac:dyDescent="0.2">
      <c r="A53" t="s">
        <v>26</v>
      </c>
      <c r="C53" s="4">
        <f>SUM(D50:H50)</f>
        <v>19.111036913660477</v>
      </c>
    </row>
    <row r="54" spans="1:9" x14ac:dyDescent="0.2">
      <c r="A54" t="s">
        <v>27</v>
      </c>
      <c r="C54" s="4">
        <f>I50</f>
        <v>125.96645030841144</v>
      </c>
    </row>
    <row r="55" spans="1:9" x14ac:dyDescent="0.2">
      <c r="A55" t="s">
        <v>28</v>
      </c>
      <c r="C55" s="4">
        <f>SUM(C53:C54)</f>
        <v>145.07748722207191</v>
      </c>
    </row>
  </sheetData>
  <mergeCells count="1"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Inputs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Vuong, Dat B</dc:creator>
  <cp:lastModifiedBy>Vuong, Dat B</cp:lastModifiedBy>
  <dcterms:created xsi:type="dcterms:W3CDTF">2026-01-28T05:13:22Z</dcterms:created>
  <dcterms:modified xsi:type="dcterms:W3CDTF">2026-01-29T20:57:15Z</dcterms:modified>
</cp:coreProperties>
</file>