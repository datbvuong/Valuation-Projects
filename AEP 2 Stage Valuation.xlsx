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bv15\Downloads\"/>
    </mc:Choice>
  </mc:AlternateContent>
  <xr:revisionPtr revIDLastSave="0" documentId="8_{D07A8CB6-006A-40E6-BA13-D9A1F1EAEA35}" xr6:coauthVersionLast="47" xr6:coauthVersionMax="47" xr10:uidLastSave="{00000000-0000-0000-0000-000000000000}"/>
  <bookViews>
    <workbookView xWindow="-110" yWindow="-110" windowWidth="25820" windowHeight="13900" xr2:uid="{31A46794-C091-4EAF-821A-671190B1A281}"/>
  </bookViews>
  <sheets>
    <sheet name="Sheet1" sheetId="1" r:id="rId1"/>
  </sheets>
  <definedNames>
    <definedName name="_3_10_2026">Sheet1!$B$9</definedName>
    <definedName name="Beta">Sheet1!$B$18</definedName>
    <definedName name="Cost_of_Equity__Discount_Rate">Sheet1!$B$21</definedName>
    <definedName name="Dividend_Payout_Rate">Sheet1!$B$25</definedName>
    <definedName name="Dividends_Per_Share">Sheet1!$B$14</definedName>
    <definedName name="Enterprise_Book_Value">Sheet1!$B$13</definedName>
    <definedName name="Market_Risk_Premium">Sheet1!$B$20</definedName>
    <definedName name="Net_Income">Sheet1!$B$12</definedName>
    <definedName name="Return_on_Equity">Sheet1!$B$24</definedName>
    <definedName name="Risk_Free_Rate__US_10_YR_Yield">Sheet1!$B$19</definedName>
    <definedName name="Shares_Outstanding">Sheet1!$B$15</definedName>
    <definedName name="Sustainable_Growth_Rate">Sheet1!$B$26</definedName>
    <definedName name="Terminal_Growth_Rate">Sheet1!$B$27</definedName>
    <definedName name="Valuation_Date">Sheet1!$B$9</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 r="D37" i="1"/>
  <c r="E37" i="1"/>
  <c r="F37" i="1"/>
  <c r="G37" i="1"/>
  <c r="H37" i="1"/>
  <c r="C37" i="1"/>
  <c r="E34" i="1"/>
  <c r="F34" i="1"/>
  <c r="G34" i="1"/>
  <c r="H34" i="1"/>
  <c r="D34" i="1"/>
  <c r="H31" i="1"/>
  <c r="H30" i="1"/>
  <c r="E30" i="1"/>
  <c r="F30" i="1"/>
  <c r="G30" i="1" s="1"/>
  <c r="D30" i="1"/>
  <c r="C30" i="1"/>
  <c r="B27" i="1"/>
  <c r="B25" i="1"/>
  <c r="B24" i="1"/>
  <c r="B26" i="1" s="1"/>
  <c r="B18" i="1" a="1"/>
  <c r="B18" i="1" s="1"/>
  <c r="B21" i="1" s="1"/>
  <c r="B14" i="1"/>
  <c r="B9" i="1"/>
  <c r="B31" i="1" s="1"/>
  <c r="C34" i="1" s="1"/>
  <c r="C7" i="1" a="1"/>
  <c r="C7" i="1" s="1"/>
  <c r="G15" i="1" s="1"/>
  <c r="G31" i="1" l="1"/>
  <c r="D31" i="1"/>
  <c r="E31" i="1"/>
  <c r="F31" i="1"/>
  <c r="C31" i="1"/>
  <c r="C32" i="1" s="1"/>
  <c r="D32" i="1" s="1"/>
  <c r="H38" i="1"/>
  <c r="G38" i="1"/>
  <c r="F38" i="1"/>
  <c r="E38" i="1"/>
  <c r="D38" i="1"/>
  <c r="C38" i="1"/>
  <c r="B37" i="1"/>
  <c r="C35" i="1" l="1"/>
  <c r="C39" i="1" s="1"/>
  <c r="E32" i="1"/>
  <c r="D35" i="1"/>
  <c r="D39" i="1" s="1"/>
  <c r="F32" i="1" l="1"/>
  <c r="E35" i="1"/>
  <c r="E39" i="1" s="1"/>
  <c r="G32" i="1" l="1"/>
  <c r="F35" i="1"/>
  <c r="F39" i="1" s="1"/>
  <c r="H32" i="1" l="1"/>
  <c r="G35" i="1"/>
  <c r="G39" i="1" s="1"/>
  <c r="B42" i="1" s="1"/>
  <c r="H35" i="1" l="1"/>
  <c r="H39" i="1"/>
  <c r="B43" i="1" s="1"/>
  <c r="B44" i="1" l="1"/>
  <c r="C42" i="1" l="1"/>
  <c r="G16" i="1"/>
  <c r="C44" i="1"/>
  <c r="C43" i="1"/>
  <c r="G17" i="1" l="1"/>
  <c r="G19" i="1" s="1" a="1"/>
  <c r="G19" i="1" s="1"/>
  <c r="G11" i="1" s="1"/>
  <c r="G1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<sst xmlns="http://schemas.openxmlformats.org/spreadsheetml/2006/main" count="50" uniqueCount="46">
  <si>
    <t>FIN 374C</t>
  </si>
  <si>
    <t>CORPORATE VALUATIONS</t>
  </si>
  <si>
    <t>Dat Vuong</t>
  </si>
  <si>
    <t>Price:</t>
  </si>
  <si>
    <t>Valuation Date</t>
  </si>
  <si>
    <t>Financial Data (FY/CY 2025)</t>
  </si>
  <si>
    <t>Net Income</t>
  </si>
  <si>
    <t>Enterprise Book Value</t>
  </si>
  <si>
    <t>Dividends Per Share</t>
  </si>
  <si>
    <t>Shares Outstanding</t>
  </si>
  <si>
    <t>millions</t>
  </si>
  <si>
    <t>data from stockanalysis.com</t>
  </si>
  <si>
    <t>Capital Markets Data</t>
  </si>
  <si>
    <t>Beta</t>
  </si>
  <si>
    <t>Market Risk Premium</t>
  </si>
  <si>
    <t>Risk Free Rate (US 10 YR Yield)</t>
  </si>
  <si>
    <t>Cost of Equity (Discount Rate)</t>
  </si>
  <si>
    <t>Model Assumptions</t>
  </si>
  <si>
    <t>Return on Equity</t>
  </si>
  <si>
    <t>Dividend Payout Rate</t>
  </si>
  <si>
    <t>Sustainable Growth Rate</t>
  </si>
  <si>
    <t>Terminal Growth Rate</t>
  </si>
  <si>
    <t>Pro Formas</t>
  </si>
  <si>
    <t>Forecast Period</t>
  </si>
  <si>
    <t>Terminal CF</t>
  </si>
  <si>
    <t>Year Ending</t>
  </si>
  <si>
    <t>Growth Rates</t>
  </si>
  <si>
    <t>Expected Dividends</t>
  </si>
  <si>
    <t>Adjustment for Participation</t>
  </si>
  <si>
    <t>Adjusted Cash Flow</t>
  </si>
  <si>
    <t>Mid Year Convention</t>
  </si>
  <si>
    <t>Periods to Discount</t>
  </si>
  <si>
    <t>Discounted Cash Flows</t>
  </si>
  <si>
    <t>Valuation Analysis</t>
  </si>
  <si>
    <t>Value</t>
  </si>
  <si>
    <t>% of Value</t>
  </si>
  <si>
    <t>PV of Discrete Period CF</t>
  </si>
  <si>
    <t>PV of Terminal Period CF</t>
  </si>
  <si>
    <t xml:space="preserve">Total </t>
  </si>
  <si>
    <t>Rating</t>
  </si>
  <si>
    <t>Target Price</t>
  </si>
  <si>
    <t>Recommendation</t>
  </si>
  <si>
    <t>Current Price</t>
  </si>
  <si>
    <t>Intrinsic Value</t>
  </si>
  <si>
    <t>(Over)/Undervalued</t>
  </si>
  <si>
    <t>Trade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</si>
</sst>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i/>
      <sz val="9"/>
      <color theme="1"/>
      <name val="Aptos Narrow"/>
      <family val="2"/>
      <scheme val="minor"/>
    </font>
    <font>
      <sz val="11"/>
      <color theme="4"/>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3" tint="0.749992370372631"/>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2" borderId="0" xfId="0" applyFill="1"/>
    <xf numFmtId="0" fontId="1" fillId="2" borderId="0" xfId="0" applyFont="1" applyFill="1"/>
    <xf numFmtId="0" fontId="0" fillId="0" borderId="0" xfId="0" applyFill="1"/>
    <xf numFmtId="164" fontId="1" fillId="2" borderId="0" xfId="0" applyNumberFormat="1" applyFont="1" applyFill="1"/>
    <xf numFmtId="14" fontId="0" fillId="0" borderId="0" xfId="0" applyNumberFormat="1"/>
    <xf numFmtId="0" fontId="2" fillId="0" borderId="0" xfId="0" applyFont="1"/>
    <xf numFmtId="14" fontId="2" fillId="0" borderId="0" xfId="0" applyNumberFormat="1" applyFont="1"/>
    <xf numFmtId="0" fontId="0" fillId="0" borderId="0" xfId="0" applyFont="1"/>
    <xf numFmtId="44" fontId="0" fillId="0" borderId="0" xfId="0" applyNumberFormat="1"/>
    <xf numFmtId="0" fontId="3" fillId="0" borderId="0" xfId="0" applyFont="1"/>
    <xf numFmtId="4" fontId="0" fillId="0" borderId="0" xfId="0" applyNumberFormat="1"/>
    <xf numFmtId="10" fontId="0" fillId="0" borderId="0" xfId="0" applyNumberFormat="1"/>
    <xf numFmtId="2" fontId="0" fillId="0" borderId="0" xfId="0" applyNumberFormat="1"/>
    <xf numFmtId="0" fontId="0" fillId="0" borderId="0" xfId="0" applyAlignment="1">
      <alignment horizontal="center"/>
    </xf>
    <xf numFmtId="0" fontId="1" fillId="2" borderId="0" xfId="0" applyFont="1" applyFill="1" applyAlignment="1">
      <alignment horizontal="center"/>
    </xf>
    <xf numFmtId="0" fontId="0" fillId="3" borderId="0" xfId="0" applyFill="1"/>
    <xf numFmtId="0" fontId="2" fillId="3" borderId="0" xfId="0" applyFont="1" applyFill="1"/>
    <xf numFmtId="10" fontId="0" fillId="0" borderId="0" xfId="0" applyNumberFormat="1" applyFont="1"/>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3" xfId="0" applyBorder="1"/>
    <xf numFmtId="164" fontId="0" fillId="0" borderId="4" xfId="0" applyNumberFormat="1" applyBorder="1"/>
    <xf numFmtId="44" fontId="0" fillId="0" borderId="4" xfId="0" applyNumberFormat="1" applyBorder="1"/>
    <xf numFmtId="10" fontId="0" fillId="0" borderId="4" xfId="0" applyNumberFormat="1" applyBorder="1"/>
    <xf numFmtId="0" fontId="2" fillId="0" borderId="5" xfId="0" applyFont="1" applyBorder="1"/>
    <xf numFmtId="0" fontId="2" fillId="0" borderId="6" xfId="0" applyFont="1" applyBorder="1" applyAlignment="1">
      <alignment horizontal="center"/>
    </xf>
    <xf numFmtId="44" fontId="4" fillId="0" borderId="0" xfId="0" applyNumberFormat="1" applyFont="1"/>
    <xf numFmtId="0" fontId="4" fillId="0" borderId="0" xfId="0" applyFont="1"/>
    <xf numFmtId="10" fontId="4" fillId="0" borderId="0" xfId="0" applyNumberFormat="1" applyFont="1"/>
  </cellXfs>
  <cellStyles count="1">
    <cellStyle name="Normal" xfId="0" builtinId="0"/>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https://www.bing.com/financeapi/forcetrigger?t=a1mybh&amp;q=XNAS%3aAEP&amp;form=skydnc</v>
    <v>Learn more on Bing</v>
  </rv>
  <rv s="1">
    <v>en-US</v>
    <v>a1mybh</v>
    <v>268435456</v>
    <v>1</v>
    <v>Powered by Refinitiv</v>
    <v>0</v>
    <v>AMERICAN ELECTRIC POWER COMPANY, INC. (XNAS:AEP)</v>
    <v>2</v>
    <v>3</v>
    <v>Finance</v>
    <v>4</v>
    <v>134.59989999999999</v>
    <v>97.46</v>
    <v>0.57479999999999998</v>
    <v>-0.01</v>
    <v>-4.6029999999999995E-3</v>
    <v>-7.5829999999999997E-5</v>
    <v>-0.60699999999999998</v>
    <v>USD</v>
    <v>American Electric Power Company, Inc. is an electric public utility holding company. Its electric utility operating companies provide generation, transmission and distribution services to more than five million retail customers in Arkansas, Indiana, Kentucky, Louisiana, Michigan, Ohio, Oklahoma, Tennessee, Texas, Virginia and West Virginia. Its segments include Vertically Integrated Utilities, Transmission and Distribution Utilities, AEP Transmission Holdco and Generation &amp; Marketing. The Vertically Integrated Utilities is engaged in the generation, transmission and distribution of electricity for sale to retail and wholesale customers. The Transmission and Distribution Utilities consists of the transmission and distribution of electricity for sale to retail and wholesale customers. The AEP Transmission Holdco is engaged in development, construction and operation of transmission facilities. The Generation &amp; Marketing segment conducts Marketing, risk management and retail activities.</v>
    <v>17581</v>
    <v>Nasdaq Stock Market</v>
    <v>XNAS</v>
    <v>XNAS</v>
    <v>1 Riverside Plz, COLUMBUS, OH, 43215-2355 US</v>
    <v>132.35</v>
    <v>Electrical Utilities &amp; IPPs</v>
    <v>Stock</v>
    <v>46090.997970034376</v>
    <v>0</v>
    <v>130.79</v>
    <v>71317997390</v>
    <v>AMERICAN ELECTRIC POWER COMPANY, INC.</v>
    <v>AMERICAN ELECTRIC POWER COMPANY, INC.</v>
    <v>131.81</v>
    <v>19.784700000000001</v>
    <v>131.87</v>
    <v>131.86000000000001</v>
    <v>131.25299999999999</v>
    <v>540861500</v>
    <v>AEP</v>
    <v>AMERICAN ELECTRIC POWER COMPANY, INC. (XNAS:AEP)</v>
    <v>4476604</v>
    <v>3800215</v>
    <v>1925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921C-673D-4A80-9AA8-C63575D30304}">
  <dimension ref="A1:K44"/>
  <sheetViews>
    <sheetView showGridLines="0" tabSelected="1" workbookViewId="0">
      <selection activeCell="J8" sqref="J8"/>
    </sheetView>
  </sheetViews>
  <sheetFormatPr defaultRowHeight="14.5" x14ac:dyDescent="0.35"/>
  <cols>
    <col min="1" max="1" width="51" bestFit="1" customWidth="1"/>
    <col min="2" max="2" width="12.7265625" bestFit="1" customWidth="1"/>
    <col min="3" max="5" width="10.08984375" bestFit="1" customWidth="1"/>
    <col min="6" max="6" width="16.81640625" bestFit="1" customWidth="1"/>
    <col min="7" max="7" width="10.08984375" bestFit="1" customWidth="1"/>
    <col min="8" max="8" width="10.453125" bestFit="1" customWidth="1"/>
    <col min="9" max="11" width="8.7265625" style="3"/>
  </cols>
  <sheetData>
    <row r="1" spans="1:8" x14ac:dyDescent="0.35">
      <c r="A1" s="1"/>
      <c r="B1" s="1"/>
      <c r="C1" s="1"/>
      <c r="D1" s="1"/>
      <c r="E1" s="1"/>
      <c r="F1" s="1"/>
      <c r="G1" s="1"/>
      <c r="H1" s="1"/>
    </row>
    <row r="2" spans="1:8" x14ac:dyDescent="0.35">
      <c r="A2" s="2" t="s">
        <v>0</v>
      </c>
      <c r="B2" s="1"/>
      <c r="C2" s="1"/>
      <c r="D2" s="1"/>
      <c r="E2" s="1"/>
      <c r="F2" s="1"/>
      <c r="G2" s="1"/>
      <c r="H2" s="1"/>
    </row>
    <row r="3" spans="1:8" x14ac:dyDescent="0.35">
      <c r="A3" s="2" t="s">
        <v>1</v>
      </c>
      <c r="B3" s="1"/>
      <c r="C3" s="1"/>
      <c r="D3" s="1"/>
      <c r="E3" s="1"/>
      <c r="F3" s="1"/>
      <c r="G3" s="1"/>
      <c r="H3" s="1"/>
    </row>
    <row r="4" spans="1:8" x14ac:dyDescent="0.35">
      <c r="A4" s="2" t="s">
        <v>2</v>
      </c>
      <c r="B4" s="1"/>
      <c r="C4" s="1"/>
      <c r="D4" s="1"/>
      <c r="E4" s="1"/>
      <c r="F4" s="1"/>
      <c r="G4" s="1"/>
      <c r="H4" s="1"/>
    </row>
    <row r="5" spans="1:8" x14ac:dyDescent="0.35">
      <c r="A5" s="1"/>
      <c r="B5" s="1"/>
      <c r="C5" s="1"/>
      <c r="D5" s="1"/>
      <c r="E5" s="1"/>
      <c r="F5" s="1"/>
      <c r="G5" s="1"/>
      <c r="H5" s="1"/>
    </row>
    <row r="7" spans="1:8" x14ac:dyDescent="0.35">
      <c r="A7" s="2" t="e" vm="1">
        <v>#VALUE!</v>
      </c>
      <c r="B7" s="2" t="s">
        <v>3</v>
      </c>
      <c r="C7" s="4" cm="1">
        <f t="array" aca="1" ref="C7" ca="1">_FV(A7,"Price")</f>
        <v>131.86000000000001</v>
      </c>
      <c r="D7" s="1"/>
      <c r="E7" s="1"/>
      <c r="F7" s="1"/>
      <c r="G7" s="1"/>
      <c r="H7" s="1"/>
    </row>
    <row r="8" spans="1:8" x14ac:dyDescent="0.35">
      <c r="A8" s="3"/>
      <c r="B8" s="3"/>
      <c r="C8" s="3"/>
      <c r="D8" s="3"/>
      <c r="E8" s="3"/>
      <c r="F8" s="3"/>
      <c r="G8" s="3"/>
      <c r="H8" s="3"/>
    </row>
    <row r="9" spans="1:8" x14ac:dyDescent="0.35">
      <c r="A9" s="6" t="s">
        <v>4</v>
      </c>
      <c r="B9" s="7">
        <f ca="1">TODAY()</f>
        <v>46091</v>
      </c>
    </row>
    <row r="11" spans="1:8" x14ac:dyDescent="0.35">
      <c r="A11" s="6" t="s">
        <v>5</v>
      </c>
      <c r="C11" s="10" t="s">
        <v>11</v>
      </c>
      <c r="F11" t="s">
        <v>39</v>
      </c>
      <c r="G11" s="14" t="str">
        <f ca="1">G19</f>
        <v>SELL</v>
      </c>
    </row>
    <row r="12" spans="1:8" x14ac:dyDescent="0.35">
      <c r="A12" t="s">
        <v>6</v>
      </c>
      <c r="B12" s="27">
        <v>3580</v>
      </c>
      <c r="C12" s="10" t="s">
        <v>10</v>
      </c>
      <c r="F12" t="s">
        <v>40</v>
      </c>
      <c r="G12" s="9">
        <f ca="1">G16</f>
        <v>69.392827664414739</v>
      </c>
    </row>
    <row r="13" spans="1:8" x14ac:dyDescent="0.35">
      <c r="A13" s="8" t="s">
        <v>7</v>
      </c>
      <c r="B13" s="27">
        <v>31138</v>
      </c>
      <c r="C13" s="10" t="s">
        <v>10</v>
      </c>
    </row>
    <row r="14" spans="1:8" x14ac:dyDescent="0.35">
      <c r="A14" s="8" t="s">
        <v>8</v>
      </c>
      <c r="B14" s="9">
        <f>0.95+0.93*3</f>
        <v>3.74</v>
      </c>
      <c r="C14" s="10"/>
      <c r="F14" s="19" t="s">
        <v>41</v>
      </c>
      <c r="G14" s="20"/>
    </row>
    <row r="15" spans="1:8" x14ac:dyDescent="0.35">
      <c r="A15" s="8" t="s">
        <v>9</v>
      </c>
      <c r="B15" s="28">
        <v>540.86</v>
      </c>
      <c r="C15" s="10" t="s">
        <v>10</v>
      </c>
      <c r="F15" s="21" t="s">
        <v>42</v>
      </c>
      <c r="G15" s="22">
        <f ca="1">C7</f>
        <v>131.86000000000001</v>
      </c>
    </row>
    <row r="16" spans="1:8" x14ac:dyDescent="0.35">
      <c r="F16" s="21" t="s">
        <v>43</v>
      </c>
      <c r="G16" s="23">
        <f ca="1">B44</f>
        <v>69.392827664414739</v>
      </c>
    </row>
    <row r="17" spans="1:8" x14ac:dyDescent="0.35">
      <c r="A17" s="6" t="s">
        <v>12</v>
      </c>
      <c r="F17" s="21" t="s">
        <v>44</v>
      </c>
      <c r="G17" s="24">
        <f ca="1">(G16-G15)/G16</f>
        <v>-0.90019638106805377</v>
      </c>
    </row>
    <row r="18" spans="1:8" x14ac:dyDescent="0.35">
      <c r="A18" t="s">
        <v>13</v>
      </c>
      <c r="B18" s="11" cm="1">
        <f t="array" aca="1" ref="B18" ca="1">_FV(A7,"Beta")</f>
        <v>0.57479999999999998</v>
      </c>
      <c r="F18" s="21" t="s">
        <v>45</v>
      </c>
      <c r="G18" s="24">
        <f>10%</f>
        <v>0.1</v>
      </c>
    </row>
    <row r="19" spans="1:8" x14ac:dyDescent="0.35">
      <c r="A19" t="s">
        <v>15</v>
      </c>
      <c r="B19" s="29">
        <v>4.1099999999999998E-2</v>
      </c>
      <c r="F19" s="25" t="s">
        <v>41</v>
      </c>
      <c r="G19" s="26" t="str" cm="1">
        <f t="array" aca="1" ref="G19" ca="1">_xlfn.IFS(ABS(G17)&lt;G18,"HOLD", G15&gt;G16, "SELL", G15&lt;G16, "BUY")</f>
        <v>SELL</v>
      </c>
    </row>
    <row r="20" spans="1:8" x14ac:dyDescent="0.35">
      <c r="A20" t="s">
        <v>14</v>
      </c>
      <c r="B20" s="29">
        <v>5.1799999999999999E-2</v>
      </c>
    </row>
    <row r="21" spans="1:8" x14ac:dyDescent="0.35">
      <c r="A21" t="s">
        <v>16</v>
      </c>
      <c r="B21" s="12">
        <f ca="1">Risk_Free_Rate__US_10_YR_Yield+Market_Risk_Premium*Beta</f>
        <v>7.0874639999999989E-2</v>
      </c>
    </row>
    <row r="23" spans="1:8" x14ac:dyDescent="0.35">
      <c r="A23" s="6" t="s">
        <v>17</v>
      </c>
    </row>
    <row r="24" spans="1:8" x14ac:dyDescent="0.35">
      <c r="A24" t="s">
        <v>18</v>
      </c>
      <c r="B24" s="12">
        <f>Net_Income/Enterprise_Book_Value</f>
        <v>0.11497205986254737</v>
      </c>
    </row>
    <row r="25" spans="1:8" x14ac:dyDescent="0.35">
      <c r="A25" t="s">
        <v>19</v>
      </c>
      <c r="B25" s="12">
        <f>(Dividends_Per_Share*Shares_Outstanding)/Net_Income</f>
        <v>0.56503251396648047</v>
      </c>
    </row>
    <row r="26" spans="1:8" x14ac:dyDescent="0.35">
      <c r="A26" t="s">
        <v>20</v>
      </c>
      <c r="B26" s="12">
        <f>Return_on_Equity*(1-Dividend_Payout_Rate)</f>
        <v>5.0009107842507547E-2</v>
      </c>
    </row>
    <row r="27" spans="1:8" x14ac:dyDescent="0.35">
      <c r="A27" t="s">
        <v>21</v>
      </c>
      <c r="B27" s="12">
        <f>3%</f>
        <v>0.03</v>
      </c>
    </row>
    <row r="29" spans="1:8" x14ac:dyDescent="0.35">
      <c r="A29" s="6" t="s">
        <v>22</v>
      </c>
      <c r="C29" s="15" t="s">
        <v>23</v>
      </c>
      <c r="D29" s="15"/>
      <c r="E29" s="15"/>
      <c r="F29" s="15"/>
      <c r="G29" s="15"/>
      <c r="H29" s="17" t="s">
        <v>24</v>
      </c>
    </row>
    <row r="30" spans="1:8" x14ac:dyDescent="0.35">
      <c r="A30" s="8" t="s">
        <v>25</v>
      </c>
      <c r="B30" t="s">
        <v>4</v>
      </c>
      <c r="C30" s="5">
        <f>DATE(2026,12,31)</f>
        <v>46387</v>
      </c>
      <c r="D30" s="5">
        <f>EDATE(C30,12)</f>
        <v>46752</v>
      </c>
      <c r="E30" s="5">
        <f t="shared" ref="E30:H30" si="0">EDATE(D30,12)</f>
        <v>47118</v>
      </c>
      <c r="F30" s="5">
        <f t="shared" si="0"/>
        <v>47483</v>
      </c>
      <c r="G30" s="5">
        <f t="shared" si="0"/>
        <v>47848</v>
      </c>
      <c r="H30" s="5">
        <f t="shared" si="0"/>
        <v>48213</v>
      </c>
    </row>
    <row r="31" spans="1:8" x14ac:dyDescent="0.35">
      <c r="A31" s="8" t="s">
        <v>26</v>
      </c>
      <c r="B31" s="5">
        <f ca="1">Valuation_Date</f>
        <v>46091</v>
      </c>
      <c r="C31" s="18">
        <f>Sustainable_Growth_Rate</f>
        <v>5.0009107842507547E-2</v>
      </c>
      <c r="D31" s="18">
        <f>Sustainable_Growth_Rate</f>
        <v>5.0009107842507547E-2</v>
      </c>
      <c r="E31" s="18">
        <f>Sustainable_Growth_Rate</f>
        <v>5.0009107842507547E-2</v>
      </c>
      <c r="F31" s="18">
        <f>Sustainable_Growth_Rate</f>
        <v>5.0009107842507547E-2</v>
      </c>
      <c r="G31" s="18">
        <f>Sustainable_Growth_Rate</f>
        <v>5.0009107842507547E-2</v>
      </c>
      <c r="H31" s="18">
        <f>Terminal_Growth_Rate</f>
        <v>0.03</v>
      </c>
    </row>
    <row r="32" spans="1:8" x14ac:dyDescent="0.35">
      <c r="A32" s="6" t="s">
        <v>27</v>
      </c>
      <c r="C32" s="9">
        <f>Dividends_Per_Share*(1+C31)</f>
        <v>3.9270340633309786</v>
      </c>
      <c r="D32" s="9">
        <f>C32*(1+D31)</f>
        <v>4.1234215333052981</v>
      </c>
      <c r="E32" s="9">
        <f t="shared" ref="E32:H32" si="1">D32*(1+E31)</f>
        <v>4.3296301654444811</v>
      </c>
      <c r="F32" s="9">
        <f t="shared" si="1"/>
        <v>4.5461511073063683</v>
      </c>
      <c r="G32" s="9">
        <f t="shared" si="1"/>
        <v>4.7735000682999873</v>
      </c>
      <c r="H32" s="9">
        <f t="shared" si="1"/>
        <v>4.9167050703489874</v>
      </c>
    </row>
    <row r="33" spans="1:8" x14ac:dyDescent="0.35">
      <c r="A33" s="1"/>
      <c r="B33" s="1"/>
      <c r="C33" s="1"/>
      <c r="D33" s="1"/>
      <c r="E33" s="1"/>
      <c r="F33" s="1"/>
      <c r="G33" s="1"/>
      <c r="H33" s="16"/>
    </row>
    <row r="34" spans="1:8" x14ac:dyDescent="0.35">
      <c r="A34" t="s">
        <v>28</v>
      </c>
      <c r="C34" s="12">
        <f ca="1">YEARFRAC(B31,C30)</f>
        <v>0.80833333333333335</v>
      </c>
      <c r="D34" s="12">
        <f>YEARFRAC(C30,D30)</f>
        <v>1</v>
      </c>
      <c r="E34" s="12">
        <f t="shared" ref="E34:H34" si="2">YEARFRAC(D30,E30)</f>
        <v>1</v>
      </c>
      <c r="F34" s="12">
        <f t="shared" si="2"/>
        <v>1</v>
      </c>
      <c r="G34" s="12">
        <f t="shared" si="2"/>
        <v>1</v>
      </c>
      <c r="H34" s="12">
        <f t="shared" si="2"/>
        <v>1</v>
      </c>
    </row>
    <row r="35" spans="1:8" x14ac:dyDescent="0.35">
      <c r="A35" t="s">
        <v>29</v>
      </c>
      <c r="C35" s="9">
        <f ca="1">C32*C34</f>
        <v>3.1743525345258745</v>
      </c>
      <c r="D35" s="9">
        <f t="shared" ref="D35:H35" si="3">D32*D34</f>
        <v>4.1234215333052981</v>
      </c>
      <c r="E35" s="9">
        <f t="shared" si="3"/>
        <v>4.3296301654444811</v>
      </c>
      <c r="F35" s="9">
        <f t="shared" si="3"/>
        <v>4.5461511073063683</v>
      </c>
      <c r="G35" s="9">
        <f t="shared" si="3"/>
        <v>4.7735000682999873</v>
      </c>
      <c r="H35" s="9">
        <f t="shared" si="3"/>
        <v>4.9167050703489874</v>
      </c>
    </row>
    <row r="36" spans="1:8" x14ac:dyDescent="0.35">
      <c r="A36" s="1"/>
      <c r="B36" s="1"/>
      <c r="C36" s="1"/>
      <c r="D36" s="1"/>
      <c r="E36" s="1"/>
      <c r="F36" s="1"/>
      <c r="G36" s="1"/>
      <c r="H36" s="16"/>
    </row>
    <row r="37" spans="1:8" x14ac:dyDescent="0.35">
      <c r="A37" t="s">
        <v>30</v>
      </c>
      <c r="B37" s="5">
        <f ca="1">Valuation_Date</f>
        <v>46091</v>
      </c>
      <c r="C37" s="5">
        <f>IF($A$37 = "Year End Convention", C30, EDATE(C30, -6))</f>
        <v>46203</v>
      </c>
      <c r="D37" s="5">
        <f t="shared" ref="D37:H37" si="4">IF($A$37 = "Year End Convention", D30, EDATE(D30, -6))</f>
        <v>46568</v>
      </c>
      <c r="E37" s="5">
        <f t="shared" si="4"/>
        <v>46934</v>
      </c>
      <c r="F37" s="5">
        <f t="shared" si="4"/>
        <v>47299</v>
      </c>
      <c r="G37" s="5">
        <f t="shared" si="4"/>
        <v>47664</v>
      </c>
      <c r="H37" s="5">
        <f t="shared" si="4"/>
        <v>48029</v>
      </c>
    </row>
    <row r="38" spans="1:8" x14ac:dyDescent="0.35">
      <c r="A38" t="s">
        <v>31</v>
      </c>
      <c r="C38" s="13">
        <f ca="1">YEARFRAC(Valuation_Date,C37)</f>
        <v>0.30555555555555558</v>
      </c>
      <c r="D38" s="13">
        <f ca="1">YEARFRAC(Valuation_Date,D37)</f>
        <v>1.3055555555555556</v>
      </c>
      <c r="E38" s="13">
        <f ca="1">YEARFRAC(Valuation_Date,E37)</f>
        <v>2.3055555555555554</v>
      </c>
      <c r="F38" s="13">
        <f ca="1">YEARFRAC(Valuation_Date,F37)</f>
        <v>3.3055555555555554</v>
      </c>
      <c r="G38" s="13">
        <f ca="1">YEARFRAC(Valuation_Date,G37)</f>
        <v>4.3055555555555554</v>
      </c>
      <c r="H38" s="13">
        <f ca="1">YEARFRAC(Valuation_Date,H37)</f>
        <v>5.3055555555555554</v>
      </c>
    </row>
    <row r="39" spans="1:8" x14ac:dyDescent="0.35">
      <c r="A39" t="s">
        <v>32</v>
      </c>
      <c r="C39" s="9">
        <f ca="1">C35/((1+Cost_of_Equity__Discount_Rate)^C38)</f>
        <v>3.1086251177742521</v>
      </c>
      <c r="D39" s="9">
        <f ca="1">D35/((1+Cost_of_Equity__Discount_Rate)^D38)</f>
        <v>3.7707895586847697</v>
      </c>
      <c r="E39" s="9">
        <f ca="1">E35/((1+Cost_of_Equity__Discount_Rate)^E38)</f>
        <v>3.6973173446113528</v>
      </c>
      <c r="F39" s="9">
        <f ca="1">F35/((1+Cost_of_Equity__Discount_Rate)^F38)</f>
        <v>3.6252767050548469</v>
      </c>
      <c r="G39" s="9">
        <f ca="1">G35/((1+Cost_of_Equity__Discount_Rate)^G38)</f>
        <v>3.5546397464010031</v>
      </c>
      <c r="H39" s="9">
        <f ca="1">(H32/Cost_of_Equity__Discount_Rate-Terminal_Growth_Rate)/((1+Cost_of_Equity__Discount_Rate)^G38)</f>
        <v>51.636179191888523</v>
      </c>
    </row>
    <row r="41" spans="1:8" x14ac:dyDescent="0.35">
      <c r="A41" s="2" t="s">
        <v>33</v>
      </c>
      <c r="B41" s="2" t="s">
        <v>34</v>
      </c>
      <c r="C41" s="2" t="s">
        <v>35</v>
      </c>
    </row>
    <row r="42" spans="1:8" x14ac:dyDescent="0.35">
      <c r="A42" t="s">
        <v>36</v>
      </c>
      <c r="B42" s="9">
        <f ca="1">SUM(C39:G39)</f>
        <v>17.756648472526223</v>
      </c>
      <c r="C42" s="12">
        <f ca="1">B42/B44</f>
        <v>0.25588593331860998</v>
      </c>
    </row>
    <row r="43" spans="1:8" x14ac:dyDescent="0.35">
      <c r="A43" t="s">
        <v>37</v>
      </c>
      <c r="B43" s="9">
        <f ca="1">H39</f>
        <v>51.636179191888523</v>
      </c>
      <c r="C43" s="12">
        <f ca="1">B43/B44</f>
        <v>0.74411406668139013</v>
      </c>
    </row>
    <row r="44" spans="1:8" x14ac:dyDescent="0.35">
      <c r="A44" t="s">
        <v>38</v>
      </c>
      <c r="B44" s="9">
        <f ca="1">SUM(B42:B43)</f>
        <v>69.392827664414739</v>
      </c>
      <c r="C44" s="12">
        <f ca="1">B44/B44</f>
        <v>1</v>
      </c>
    </row>
  </sheetData>
  <mergeCells count="2">
    <mergeCell ref="C29:G29"/>
    <mergeCell ref="F14:G14"/>
  </mergeCells>
  <conditionalFormatting sqref="G11">
    <cfRule type="cellIs" dxfId="2" priority="1" operator="equal">
      <formula>"BUY"</formula>
    </cfRule>
    <cfRule type="cellIs" dxfId="1" priority="2" operator="equal">
      <formula>"HOLD"</formula>
    </cfRule>
    <cfRule type="cellIs" dxfId="0" priority="3" operator="equal">
      <formula>"SELL"</formula>
    </cfRule>
  </conditionalFormatting>
  <dataValidations count="1">
    <dataValidation type="list" allowBlank="1" showInputMessage="1" showErrorMessage="1" sqref="A37" xr:uid="{57BC760E-A87D-493C-B005-34CCEF965140}">
      <formula1>"Year End Convention, Mid Year Convention"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14</vt:i4>
      </vt:variant>
    </vt:vector>
  </HeadingPairs>
  <TitlesOfParts>
    <vt:vector size="15" baseType="lpstr">
      <vt:lpstr>Sheet1</vt:lpstr>
      <vt:lpstr>_3_10_2026</vt:lpstr>
      <vt:lpstr>Beta</vt:lpstr>
      <vt:lpstr>Cost_of_Equity__Discount_Rate</vt:lpstr>
      <vt:lpstr>Dividend_Payout_Rate</vt:lpstr>
      <vt:lpstr>Dividends_Per_Share</vt:lpstr>
      <vt:lpstr>Enterprise_Book_Value</vt:lpstr>
      <vt:lpstr>Market_Risk_Premium</vt:lpstr>
      <vt:lpstr>Net_Income</vt:lpstr>
      <vt:lpstr>Return_on_Equity</vt:lpstr>
      <vt:lpstr>Risk_Free_Rate__US_10_YR_Yield</vt:lpstr>
      <vt:lpstr>Shares_Outstanding</vt:lpstr>
      <vt:lpstr>Sustainable_Growth_Rate</vt:lpstr>
      <vt:lpstr>Terminal_Growth_Rate</vt:lpstr>
      <vt:lpstr>Valuation_Date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Dat B</dc:creator>
  <cp:lastModifiedBy>Vuong, Dat B</cp:lastModifiedBy>
  <dcterms:created xsi:type="dcterms:W3CDTF">2026-03-10T04:54:01Z</dcterms:created>
  <dcterms:modified xsi:type="dcterms:W3CDTF">2026-03-10T06:29:43Z</dcterms:modified>
</cp:coreProperties>
</file>